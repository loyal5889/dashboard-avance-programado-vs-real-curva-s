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6C784689-ECB4-4409-B1EC-79D9F5DCEE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2" l="1"/>
  <c r="G14" i="2"/>
  <c r="G29" i="2"/>
  <c r="H21" i="2"/>
</calcChain>
</file>

<file path=xl/sharedStrings.xml><?xml version="1.0" encoding="utf-8"?>
<sst xmlns="http://schemas.openxmlformats.org/spreadsheetml/2006/main" count="320" uniqueCount="90">
  <si>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</si>
  <si>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</si>
  <si>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</si>
  <si>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</si>
  <si>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</si>
  <si>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</si>
  <si>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</si>
  <si>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</si>
  <si>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</si>
  <si>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</si>
  <si>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</si>
  <si>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</si>
  <si>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</si>
  <si>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</si>
  <si>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</si>
  <si>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</si>
  <si>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</si>
  <si>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</si>
  <si>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</si>
  <si>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</si>
  <si>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</si>
  <si>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</si>
  <si>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</si>
  <si>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</si>
  <si>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</si>
  <si>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</si>
  <si>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</si>
  <si>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</si>
  <si>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</si>
  <si>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</si>
  <si>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</si>
  <si>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</si>
  <si>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</si>
  <si>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</si>
  <si>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</si>
  <si>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</si>
  <si>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</si>
  <si>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</si>
  <si>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</si>
  <si>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</si>
  <si>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</si>
  <si>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</si>
  <si>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</si>
  <si>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</si>
  <si>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</si>
  <si>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</si>
  <si>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</si>
  <si>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</si>
  <si>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</si>
  <si>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</si>
  <si>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</si>
  <si>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</si>
  <si>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</si>
  <si>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</si>
  <si>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</si>
  <si>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</si>
  <si>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</si>
  <si>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</si>
  <si>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</si>
  <si>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</si>
  <si>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</si>
  <si>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</si>
  <si>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</si>
  <si>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</si>
  <si>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</si>
  <si>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</si>
  <si>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</si>
  <si>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</si>
  <si>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</si>
  <si>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</si>
  <si>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</si>
  <si>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</si>
  <si>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</si>
  <si>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</si>
  <si>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</si>
  <si>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</si>
  <si>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</si>
  <si>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</si>
  <si>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</si>
  <si>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</si>
  <si>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</si>
  <si>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</si>
  <si>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</si>
  <si>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</si>
  <si>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</si>
  <si>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</si>
  <si>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>Semana: 5 de octubre al 10 de octubre de 2026 | Ponderación del dashboard: duración</t>
  </si>
  <si>
    <t>Lavado de concreto en fachada flotante</t>
  </si>
  <si>
    <t>1.1.10</t>
  </si>
  <si>
    <t>1.2.10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</si>
</sst>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  <xf numFmtId="0" fontId="0" fillId="0" borderId="1" xfId="0" applyBorder="1"/>
    <xf numFmtId="0" fontId="4" fillId="4" borderId="1" xfId="0" applyFont="1" applyFill="1" applyBorder="1"/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31">
  <autoFilter ref="A4:I31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topLeftCell="A7" zoomScale="94" workbookViewId="0">
      <selection activeCell="H30" sqref="H30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86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46305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46305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46305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46305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46305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46305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46305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46305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46305</v>
      </c>
      <c r="B13">
        <v>11</v>
      </c>
      <c r="C13" t="s">
        <v>34</v>
      </c>
      <c r="D13" t="s">
        <v>35</v>
      </c>
      <c r="E13" s="4" t="s">
        <v>11</v>
      </c>
      <c r="F13" t="s">
        <v>30</v>
      </c>
      <c r="G13">
        <v>100</v>
      </c>
      <c r="H13" s="6">
        <v>67</v>
      </c>
      <c r="I13" t="s">
        <v>68</v>
      </c>
    </row>
    <row r="14" spans="1:9" s="11" customFormat="1">
      <c r="A14" s="5">
        <v>46305</v>
      </c>
      <c r="B14" s="11">
        <v>12</v>
      </c>
      <c r="C14" s="11" t="s">
        <v>88</v>
      </c>
      <c r="D14" s="4" t="s">
        <v>87</v>
      </c>
      <c r="E14" s="4" t="s">
        <v>11</v>
      </c>
      <c r="F14" s="4" t="s">
        <v>12</v>
      </c>
      <c r="G14" s="4">
        <f>192/3</f>
        <v>64</v>
      </c>
      <c r="H14" s="12">
        <v>32</v>
      </c>
    </row>
    <row r="15" spans="1:9">
      <c r="A15" s="5">
        <v>46305</v>
      </c>
      <c r="B15">
        <v>13</v>
      </c>
      <c r="C15" t="s">
        <v>37</v>
      </c>
      <c r="D15" t="s">
        <v>38</v>
      </c>
      <c r="E15" t="s">
        <v>11</v>
      </c>
      <c r="F15" t="s">
        <v>12</v>
      </c>
      <c r="G15">
        <v>90</v>
      </c>
      <c r="H15" s="6">
        <v>0</v>
      </c>
      <c r="I15" t="s">
        <v>68</v>
      </c>
    </row>
    <row r="16" spans="1:9">
      <c r="A16" s="5">
        <v>46305</v>
      </c>
      <c r="B16">
        <v>14</v>
      </c>
      <c r="C16" t="s">
        <v>40</v>
      </c>
      <c r="D16" t="s">
        <v>41</v>
      </c>
      <c r="E16" t="s">
        <v>11</v>
      </c>
      <c r="F16" t="s">
        <v>12</v>
      </c>
      <c r="G16">
        <v>20</v>
      </c>
      <c r="H16" s="6">
        <v>0</v>
      </c>
      <c r="I16" t="s">
        <v>68</v>
      </c>
    </row>
    <row r="17" spans="1:9">
      <c r="A17" s="5">
        <v>46305</v>
      </c>
      <c r="B17">
        <v>16</v>
      </c>
      <c r="C17" t="s">
        <v>43</v>
      </c>
      <c r="D17" t="s">
        <v>10</v>
      </c>
      <c r="E17" t="s">
        <v>44</v>
      </c>
      <c r="F17" t="s">
        <v>12</v>
      </c>
      <c r="G17">
        <v>900</v>
      </c>
      <c r="H17" s="6">
        <v>0</v>
      </c>
      <c r="I17" t="s">
        <v>68</v>
      </c>
    </row>
    <row r="18" spans="1:9">
      <c r="A18" s="5">
        <v>46305</v>
      </c>
      <c r="B18">
        <v>17</v>
      </c>
      <c r="C18" t="s">
        <v>45</v>
      </c>
      <c r="D18" t="s">
        <v>16</v>
      </c>
      <c r="E18" t="s">
        <v>44</v>
      </c>
      <c r="F18" t="s">
        <v>12</v>
      </c>
      <c r="G18">
        <v>1872</v>
      </c>
      <c r="H18" s="6">
        <v>0</v>
      </c>
      <c r="I18" t="s">
        <v>68</v>
      </c>
    </row>
    <row r="19" spans="1:9">
      <c r="A19" s="5">
        <v>46305</v>
      </c>
      <c r="B19">
        <v>18</v>
      </c>
      <c r="C19" t="s">
        <v>46</v>
      </c>
      <c r="D19" t="s">
        <v>19</v>
      </c>
      <c r="E19" t="s">
        <v>44</v>
      </c>
      <c r="F19" t="s">
        <v>20</v>
      </c>
      <c r="G19">
        <v>232</v>
      </c>
      <c r="H19" s="6">
        <v>232</v>
      </c>
      <c r="I19" t="s">
        <v>68</v>
      </c>
    </row>
    <row r="20" spans="1:9">
      <c r="A20" s="5">
        <v>46305</v>
      </c>
      <c r="B20">
        <v>19</v>
      </c>
      <c r="C20" t="s">
        <v>47</v>
      </c>
      <c r="D20" t="s">
        <v>23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46305</v>
      </c>
      <c r="B21">
        <v>20</v>
      </c>
      <c r="C21" t="s">
        <v>48</v>
      </c>
      <c r="D21" t="s">
        <v>25</v>
      </c>
      <c r="E21" t="s">
        <v>44</v>
      </c>
      <c r="F21" t="s">
        <v>12</v>
      </c>
      <c r="G21">
        <v>1872</v>
      </c>
      <c r="H21" s="6">
        <f>Semana31Ago05SepDarca2[[#This Row],[Cantidad Total]]</f>
        <v>1872</v>
      </c>
      <c r="I21" t="s">
        <v>68</v>
      </c>
    </row>
    <row r="22" spans="1:9">
      <c r="A22" s="5">
        <v>46305</v>
      </c>
      <c r="B22">
        <v>21</v>
      </c>
      <c r="C22" t="s">
        <v>49</v>
      </c>
      <c r="D22" t="s">
        <v>27</v>
      </c>
      <c r="E22" t="s">
        <v>44</v>
      </c>
      <c r="F22" t="s">
        <v>12</v>
      </c>
      <c r="G22">
        <v>1872</v>
      </c>
      <c r="H22" s="6">
        <v>0</v>
      </c>
      <c r="I22" t="s">
        <v>68</v>
      </c>
    </row>
    <row r="23" spans="1:9">
      <c r="A23" s="5">
        <v>46305</v>
      </c>
      <c r="B23">
        <v>22</v>
      </c>
      <c r="C23" t="s">
        <v>50</v>
      </c>
      <c r="D23" t="s">
        <v>29</v>
      </c>
      <c r="E23" t="s">
        <v>44</v>
      </c>
      <c r="F23" t="s">
        <v>30</v>
      </c>
      <c r="G23">
        <v>624</v>
      </c>
      <c r="H23" s="6">
        <v>0</v>
      </c>
      <c r="I23" t="s">
        <v>68</v>
      </c>
    </row>
    <row r="24" spans="1:9">
      <c r="A24" s="5">
        <v>46305</v>
      </c>
      <c r="B24">
        <v>23</v>
      </c>
      <c r="C24" t="s">
        <v>51</v>
      </c>
      <c r="D24" t="s">
        <v>33</v>
      </c>
      <c r="E24" t="s">
        <v>44</v>
      </c>
      <c r="F24" t="s">
        <v>12</v>
      </c>
      <c r="G24">
        <v>900</v>
      </c>
      <c r="H24" s="6">
        <v>0</v>
      </c>
      <c r="I24" t="s">
        <v>68</v>
      </c>
    </row>
    <row r="25" spans="1:9">
      <c r="A25" s="5">
        <v>46305</v>
      </c>
      <c r="B25">
        <v>24</v>
      </c>
      <c r="C25" t="s">
        <v>52</v>
      </c>
      <c r="D25" t="s">
        <v>35</v>
      </c>
      <c r="E25" t="s">
        <v>44</v>
      </c>
      <c r="F25" t="s">
        <v>30</v>
      </c>
      <c r="G25">
        <v>100</v>
      </c>
      <c r="H25" s="6">
        <v>0</v>
      </c>
      <c r="I25" t="s">
        <v>68</v>
      </c>
    </row>
    <row r="26" spans="1:9" s="11" customFormat="1">
      <c r="A26" s="5">
        <v>46305</v>
      </c>
      <c r="B26" s="11">
        <v>25</v>
      </c>
      <c r="C26" s="11" t="s">
        <v>89</v>
      </c>
      <c r="D26" s="4" t="s">
        <v>87</v>
      </c>
      <c r="E26" s="4" t="s">
        <v>44</v>
      </c>
      <c r="F26" s="4" t="s">
        <v>12</v>
      </c>
      <c r="G26" s="4">
        <f>192/3</f>
        <v>64</v>
      </c>
      <c r="H26" s="12">
        <v>32</v>
      </c>
    </row>
    <row r="27" spans="1:9">
      <c r="A27" s="5">
        <v>46305</v>
      </c>
      <c r="B27">
        <v>26</v>
      </c>
      <c r="C27" t="s">
        <v>53</v>
      </c>
      <c r="D27" t="s">
        <v>38</v>
      </c>
      <c r="E27" t="s">
        <v>44</v>
      </c>
      <c r="F27" t="s">
        <v>12</v>
      </c>
      <c r="G27">
        <v>90</v>
      </c>
      <c r="H27" s="6">
        <v>0</v>
      </c>
      <c r="I27" t="s">
        <v>68</v>
      </c>
    </row>
    <row r="28" spans="1:9">
      <c r="A28" s="5">
        <v>46305</v>
      </c>
      <c r="B28">
        <v>27</v>
      </c>
      <c r="C28" t="s">
        <v>54</v>
      </c>
      <c r="D28" t="s">
        <v>41</v>
      </c>
      <c r="E28" t="s">
        <v>44</v>
      </c>
      <c r="F28" t="s">
        <v>12</v>
      </c>
      <c r="G28">
        <v>20</v>
      </c>
      <c r="H28" s="6">
        <v>0</v>
      </c>
      <c r="I28" t="s">
        <v>68</v>
      </c>
    </row>
    <row r="29" spans="1:9">
      <c r="A29" s="5">
        <v>46305</v>
      </c>
      <c r="B29">
        <v>29</v>
      </c>
      <c r="C29" t="s">
        <v>55</v>
      </c>
      <c r="D29" t="s">
        <v>87</v>
      </c>
      <c r="E29" t="s">
        <v>57</v>
      </c>
      <c r="F29" t="s">
        <v>12</v>
      </c>
      <c r="G29">
        <f>192/3</f>
        <v>64</v>
      </c>
      <c r="H29" s="6">
        <v>32</v>
      </c>
      <c r="I29" t="s">
        <v>68</v>
      </c>
    </row>
    <row r="30" spans="1:9">
      <c r="A30" s="5">
        <v>46305</v>
      </c>
      <c r="B30">
        <v>30</v>
      </c>
      <c r="C30" t="s">
        <v>59</v>
      </c>
      <c r="D30" t="s">
        <v>60</v>
      </c>
      <c r="E30" t="s">
        <v>57</v>
      </c>
      <c r="F30" t="s">
        <v>12</v>
      </c>
      <c r="G30">
        <v>270</v>
      </c>
      <c r="H30" s="6">
        <v>0</v>
      </c>
      <c r="I30" t="s">
        <v>68</v>
      </c>
    </row>
    <row r="31" spans="1:9">
      <c r="A31" s="5">
        <v>46305</v>
      </c>
      <c r="B31">
        <v>31</v>
      </c>
      <c r="C31" t="s">
        <v>62</v>
      </c>
      <c r="D31" t="s">
        <v>63</v>
      </c>
      <c r="E31" t="s">
        <v>57</v>
      </c>
      <c r="F31" t="s">
        <v>12</v>
      </c>
      <c r="G31">
        <v>640</v>
      </c>
      <c r="H31" s="6">
        <v>0</v>
      </c>
      <c r="I31" t="s">
        <v>68</v>
      </c>
    </row>
  </sheetData>
  <mergeCells count="2">
    <mergeCell ref="A2:I2"/>
    <mergeCell ref="A1:I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2026-10-20T18:11:55Z</dcterms:modified>
</cp:coreProperties>
</file>