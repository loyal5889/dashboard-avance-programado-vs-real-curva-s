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yal\Documents\ChatGPT\Automatizacion Project\DARCA2_PROJECT_POWERBI\avance_real\"/>
    </mc:Choice>
  </mc:AlternateContent>
  <xr:revisionPtr revIDLastSave="0" documentId="13_ncr:1_{3F38EB7F-F0F2-40A9-9500-503543554A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_CANTIDADES" sheetId="1" r:id="rId1"/>
    <sheet name="DATOS" sheetId="2" r:id="rId2"/>
    <sheet name="INSTRU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2" l="1"/>
</calcChain>
</file>

<file path=xl/sharedStrings.xml><?xml version="1.0" encoding="utf-8"?>
<sst xmlns="http://schemas.openxmlformats.org/spreadsheetml/2006/main" count="312" uniqueCount="87">
  <si>
    <t>ID</t>
  </si>
  <si>
    <t>WBS</t>
  </si>
  <si>
    <t>Actividad</t>
  </si>
  <si>
    <t>Tramo</t>
  </si>
  <si>
    <t>Unidad</t>
  </si>
  <si>
    <t>Cantidad Total</t>
  </si>
  <si>
    <t>Duración Base (días)</t>
  </si>
  <si>
    <t>Estado Cantidad</t>
  </si>
  <si>
    <t>Observación</t>
  </si>
  <si>
    <t>1.1.1</t>
  </si>
  <si>
    <t>Protección de ventanas con plástico</t>
  </si>
  <si>
    <t>TRAMO 1</t>
  </si>
  <si>
    <t>m²</t>
  </si>
  <si>
    <t>DEFINIDA</t>
  </si>
  <si>
    <t>50% de 1.800 m²</t>
  </si>
  <si>
    <t>1.1.2</t>
  </si>
  <si>
    <t>Limpieza de fachada en ladrillo - Prelavado</t>
  </si>
  <si>
    <t>50% de 3.744 m²</t>
  </si>
  <si>
    <t>1.1.3</t>
  </si>
  <si>
    <t>Reemplazo de piezas rotas o deterioradas</t>
  </si>
  <si>
    <t>und</t>
  </si>
  <si>
    <t>50% de 500 unidades</t>
  </si>
  <si>
    <t>1.1.4</t>
  </si>
  <si>
    <t>Suministro y aplicación de mortero</t>
  </si>
  <si>
    <t>1.1.5</t>
  </si>
  <si>
    <t>Lavado con rinse o ácido especializado</t>
  </si>
  <si>
    <t>1.1.6</t>
  </si>
  <si>
    <t>Aplicación SIKA impermeabilizante 10 años</t>
  </si>
  <si>
    <t>1.1.7</t>
  </si>
  <si>
    <t>Pintura de marcos y flanches, aplicación de silicona antihongos</t>
  </si>
  <si>
    <t>ml</t>
  </si>
  <si>
    <t>50% de 1.248 ml</t>
  </si>
  <si>
    <t>1.1.8</t>
  </si>
  <si>
    <t>Lavado de vidrios, incluyendo flanches</t>
  </si>
  <si>
    <t>1.1.9</t>
  </si>
  <si>
    <t>Limpieza de tuberías de cobre</t>
  </si>
  <si>
    <t>50% de 200 ml</t>
  </si>
  <si>
    <t>1.1.11</t>
  </si>
  <si>
    <t>Lijado y limpieza de ductos de gas en áreas de cocina</t>
  </si>
  <si>
    <t>50% de 180 m²</t>
  </si>
  <si>
    <t>1.1.12</t>
  </si>
  <si>
    <t>Limpieza de rejillas de contadores</t>
  </si>
  <si>
    <t>50% de 40 m²</t>
  </si>
  <si>
    <t>1.2.1</t>
  </si>
  <si>
    <t>TRAMO 2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</si>
  <si>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</si>
  <si>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</si>
  <si>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</si>
  <si>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</si>
  <si>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</si>
  <si>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</si>
  <si>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</si>
  <si>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</si>
  <si>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1.2.11</t>
  </si>
  <si>
    <t>1.2.12</t>
  </si>
  <si>
    <t>1.3.1</t>
  </si>
  <si>
    <t>Lavado de concreto en fachada flotante interno</t>
  </si>
  <si>
    <t>TRAMO 3</t>
  </si>
  <si>
    <t>Única actividad de lavado de fachada flotante en concreto.</t>
  </si>
  <si>
    <t>1.3.2</t>
  </si>
  <si>
    <t>Resane de muros laterales y pintura</t>
  </si>
  <si>
    <t>Única actividad de resane de muros laterales y pintura.</t>
  </si>
  <si>
    <t>1.3.3</t>
  </si>
  <si>
    <t>Lavado de vidrios, incluyendo la marquesina</t>
  </si>
  <si>
    <t>Cantidad total de fachada flotante / marquesina.</t>
  </si>
  <si>
    <t>CONTROL SEMANAL DE AVANCE REAL — DARCA 2</t>
  </si>
  <si>
    <t>Fecha Corte</t>
  </si>
  <si>
    <t>Cantidad Ejecutada Semana</t>
  </si>
  <si>
    <t/>
  </si>
  <si>
    <t>PLANTILLA DE AVANCE REAL — DARCA 2</t>
  </si>
  <si>
    <t>Objetivo</t>
  </si>
  <si>
    <t>Registrar cantidades físicas ejecutadas semanalmente. Power BI calculará el avance real usando el peso por duración de Microsoft Project.</t>
  </si>
  <si>
    <t>Qué diligenciar</t>
  </si>
  <si>
    <t>Actualizar 'Cantidad Ejecutada Semana'. En esta primera hoja, también registrar el acumulado; después automatizaremos el acumulado entre semanas.</t>
  </si>
  <si>
    <t>Histórico</t>
  </si>
  <si>
    <t>Duplicar la hoja semanal para cada corte y conservar las anteriores. Power Query podrá consolidarlas después.</t>
  </si>
  <si>
    <t>Llave con Project</t>
  </si>
  <si>
    <t>WBS será la llave principal propuesta para relacionar este archivo con cronograma_darca2.</t>
  </si>
  <si>
    <t>Peso</t>
  </si>
  <si>
    <t>No se captura presupuesto ni peso aquí. El peso de cada actividad seguirá siendo el peso por duración ya construido.</t>
  </si>
  <si>
    <t>Tramo 3 - Interno</t>
  </si>
  <si>
    <t>Incluye una sola actividad de lavado de fachada flotante en concreto (192 m²), una sola actividad de resane de muros laterales y pintura (270 m²) y el lavado de vidrios/marquesina (640 m²).</t>
  </si>
  <si>
    <t>Tramos 1 y 2</t>
  </si>
  <si>
    <t>Fachada, ladrillo y vidrios generales se distribuyeron 50% / 50% según la definición suministrada.</t>
  </si>
  <si>
    <t>Tramo 3</t>
  </si>
  <si>
    <t>Se asignaron 640 m² de lavado de vidrios/marquesina y 192 m² de concreto de fachada flotante.</t>
  </si>
  <si>
    <t>Semana: 24 de agosto al 29 de agosto de 2026 | Ponderación del dashboard: 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</si>
</sst>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164" fontId="0" fillId="0" borderId="0" xfId="0" applyNumberFormat="1" applyBorder="1"/>
    <xf numFmtId="0" fontId="4" fillId="4" borderId="0" xfId="0" applyFont="1" applyFill="1" applyBorder="1"/>
    <xf numFmtId="0" fontId="3" fillId="3" borderId="1" xfId="0" applyFont="1" applyFill="1" applyAlignment="1">
      <alignment horizontal="center" wrapText="1"/>
    </xf>
    <xf numFmtId="0" fontId="0" fillId="0" borderId="1" xfId="0"/>
    <xf numFmtId="0" fontId="2" fillId="2" borderId="1" xfId="0" applyFont="1" applyFill="1" applyAlignment="1">
      <alignment horizontal="center" vertical="center" wrapText="1"/>
    </xf>
    <xf numFmtId="0" fontId="2" fillId="2" borderId="1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antidadesDarca2" displayName="BaseCantidadesDarca2" ref="A1:I26">
  <autoFilter ref="A1:I26" xr:uid="{00000000-0009-0000-0100-000001000000}"/>
  <tableColumns count="9">
    <tableColumn id="1" xr3:uid="{00000000-0010-0000-0000-000001000000}" name="ID"/>
    <tableColumn id="2" xr3:uid="{00000000-0010-0000-0000-000002000000}" name="WBS"/>
    <tableColumn id="3" xr3:uid="{00000000-0010-0000-0000-000003000000}" name="Actividad"/>
    <tableColumn id="4" xr3:uid="{00000000-0010-0000-0000-000004000000}" name="Tramo"/>
    <tableColumn id="5" xr3:uid="{00000000-0010-0000-0000-000005000000}" name="Unidad"/>
    <tableColumn id="6" xr3:uid="{00000000-0010-0000-0000-000006000000}" name="Cantidad Total"/>
    <tableColumn id="7" xr3:uid="{00000000-0010-0000-0000-000007000000}" name="Duración Base (días)"/>
    <tableColumn id="8" xr3:uid="{00000000-0010-0000-0000-000008000000}" name="Estado Cantidad"/>
    <tableColumn id="9" xr3:uid="{00000000-0010-0000-0000-000009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mana31Ago05SepDarca2" displayName="Semana31Ago05SepDarca2" ref="A4:I29">
  <autoFilter ref="A4:I29" xr:uid="{00000000-0009-0000-0100-000002000000}"/>
  <tableColumns count="9">
    <tableColumn id="1" xr3:uid="{00000000-0010-0000-0100-000001000000}" name="Fecha Corte"/>
    <tableColumn id="2" xr3:uid="{00000000-0010-0000-0100-000002000000}" name="ID"/>
    <tableColumn id="3" xr3:uid="{00000000-0010-0000-0100-000003000000}" name="WBS"/>
    <tableColumn id="4" xr3:uid="{00000000-0010-0000-0100-000004000000}" name="Actividad"/>
    <tableColumn id="5" xr3:uid="{00000000-0010-0000-0100-000005000000}" name="Tramo"/>
    <tableColumn id="6" xr3:uid="{00000000-0010-0000-0100-000006000000}" name="Unidad"/>
    <tableColumn id="7" xr3:uid="{00000000-0010-0000-0100-000007000000}" name="Cantidad Total"/>
    <tableColumn id="8" xr3:uid="{00000000-0010-0000-0100-000008000000}" name="Cantidad Ejecutada Semana"/>
    <tableColumn id="11" xr3:uid="{00000000-0010-0000-0100-00000B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B1" sqref="B1"/>
    </sheetView>
  </sheetViews>
  <sheetFormatPr baseColWidth="10" defaultColWidth="8.796875" defaultRowHeight="13.8"/>
  <cols>
    <col min="1" max="1" width="10" style="4" customWidth="1"/>
    <col min="2" max="2" width="11" style="4" customWidth="1"/>
    <col min="3" max="3" width="42" style="4" customWidth="1"/>
    <col min="4" max="4" width="28" style="4" customWidth="1"/>
    <col min="5" max="5" width="10" style="4" customWidth="1"/>
    <col min="6" max="6" width="15" style="4" customWidth="1"/>
    <col min="7" max="8" width="18" style="4" customWidth="1"/>
    <col min="9" max="9" width="48" style="4" customWidth="1"/>
  </cols>
  <sheetData>
    <row r="1" spans="1: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3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900</v>
      </c>
      <c r="G2" s="3">
        <v>6</v>
      </c>
      <c r="H2" s="3" t="s">
        <v>13</v>
      </c>
      <c r="I2" s="3" t="s">
        <v>14</v>
      </c>
    </row>
    <row r="3" spans="1:9">
      <c r="A3" s="3">
        <v>4</v>
      </c>
      <c r="B3" s="3" t="s">
        <v>15</v>
      </c>
      <c r="C3" s="3" t="s">
        <v>16</v>
      </c>
      <c r="D3" s="3" t="s">
        <v>11</v>
      </c>
      <c r="E3" s="3" t="s">
        <v>12</v>
      </c>
      <c r="F3" s="3">
        <v>1872</v>
      </c>
      <c r="G3" s="3">
        <v>5</v>
      </c>
      <c r="H3" s="3" t="s">
        <v>13</v>
      </c>
      <c r="I3" s="3" t="s">
        <v>17</v>
      </c>
    </row>
    <row r="4" spans="1:9">
      <c r="A4" s="3">
        <v>5</v>
      </c>
      <c r="B4" s="3" t="s">
        <v>18</v>
      </c>
      <c r="C4" s="3" t="s">
        <v>19</v>
      </c>
      <c r="D4" s="3" t="s">
        <v>11</v>
      </c>
      <c r="E4" s="3" t="s">
        <v>20</v>
      </c>
      <c r="F4" s="3">
        <v>250</v>
      </c>
      <c r="G4" s="3">
        <v>4</v>
      </c>
      <c r="H4" s="3" t="s">
        <v>13</v>
      </c>
      <c r="I4" s="3" t="s">
        <v>21</v>
      </c>
    </row>
    <row r="5" spans="1:9">
      <c r="A5" s="3">
        <v>6</v>
      </c>
      <c r="B5" s="3" t="s">
        <v>22</v>
      </c>
      <c r="C5" s="3" t="s">
        <v>23</v>
      </c>
      <c r="D5" s="3" t="s">
        <v>11</v>
      </c>
      <c r="E5" s="3" t="s">
        <v>12</v>
      </c>
      <c r="F5" s="3">
        <v>1872</v>
      </c>
      <c r="G5" s="3">
        <v>7</v>
      </c>
      <c r="H5" s="3" t="s">
        <v>13</v>
      </c>
      <c r="I5" s="3" t="s">
        <v>17</v>
      </c>
    </row>
    <row r="6" spans="1:9">
      <c r="A6" s="3">
        <v>7</v>
      </c>
      <c r="B6" s="3" t="s">
        <v>24</v>
      </c>
      <c r="C6" s="3" t="s">
        <v>25</v>
      </c>
      <c r="D6" s="3" t="s">
        <v>11</v>
      </c>
      <c r="E6" s="3" t="s">
        <v>12</v>
      </c>
      <c r="F6" s="3">
        <v>1872</v>
      </c>
      <c r="G6" s="3">
        <v>5</v>
      </c>
      <c r="H6" s="3" t="s">
        <v>13</v>
      </c>
      <c r="I6" s="3" t="s">
        <v>17</v>
      </c>
    </row>
    <row r="7" spans="1:9">
      <c r="A7" s="3">
        <v>8</v>
      </c>
      <c r="B7" s="3" t="s">
        <v>26</v>
      </c>
      <c r="C7" s="3" t="s">
        <v>27</v>
      </c>
      <c r="D7" s="3" t="s">
        <v>11</v>
      </c>
      <c r="E7" s="3" t="s">
        <v>12</v>
      </c>
      <c r="F7" s="3">
        <v>1872</v>
      </c>
      <c r="G7" s="3">
        <v>4</v>
      </c>
      <c r="H7" s="3" t="s">
        <v>13</v>
      </c>
      <c r="I7" s="3" t="s">
        <v>17</v>
      </c>
    </row>
    <row r="8" spans="1:9" ht="27.6">
      <c r="A8" s="3">
        <v>9</v>
      </c>
      <c r="B8" s="3" t="s">
        <v>28</v>
      </c>
      <c r="C8" s="3" t="s">
        <v>29</v>
      </c>
      <c r="D8" s="3" t="s">
        <v>11</v>
      </c>
      <c r="E8" s="3" t="s">
        <v>30</v>
      </c>
      <c r="F8" s="3">
        <v>624</v>
      </c>
      <c r="G8" s="3">
        <v>4</v>
      </c>
      <c r="H8" s="3" t="s">
        <v>13</v>
      </c>
      <c r="I8" s="3" t="s">
        <v>31</v>
      </c>
    </row>
    <row r="9" spans="1:9">
      <c r="A9" s="3">
        <v>10</v>
      </c>
      <c r="B9" s="3" t="s">
        <v>32</v>
      </c>
      <c r="C9" s="3" t="s">
        <v>33</v>
      </c>
      <c r="D9" s="3" t="s">
        <v>11</v>
      </c>
      <c r="E9" s="3" t="s">
        <v>12</v>
      </c>
      <c r="F9" s="3">
        <v>900</v>
      </c>
      <c r="G9" s="3">
        <v>5</v>
      </c>
      <c r="H9" s="3" t="s">
        <v>13</v>
      </c>
      <c r="I9" s="3" t="s">
        <v>14</v>
      </c>
    </row>
    <row r="10" spans="1:9">
      <c r="A10" s="3">
        <v>11</v>
      </c>
      <c r="B10" s="3" t="s">
        <v>34</v>
      </c>
      <c r="C10" s="3" t="s">
        <v>35</v>
      </c>
      <c r="D10" s="3" t="s">
        <v>11</v>
      </c>
      <c r="E10" s="3" t="s">
        <v>30</v>
      </c>
      <c r="F10" s="3">
        <v>100</v>
      </c>
      <c r="G10" s="3">
        <v>3</v>
      </c>
      <c r="H10" s="3" t="s">
        <v>13</v>
      </c>
      <c r="I10" s="3" t="s">
        <v>36</v>
      </c>
    </row>
    <row r="11" spans="1:9" ht="27.6">
      <c r="A11" s="3">
        <v>13</v>
      </c>
      <c r="B11" s="3" t="s">
        <v>37</v>
      </c>
      <c r="C11" s="3" t="s">
        <v>38</v>
      </c>
      <c r="D11" s="3" t="s">
        <v>11</v>
      </c>
      <c r="E11" s="3" t="s">
        <v>12</v>
      </c>
      <c r="F11" s="3">
        <v>90</v>
      </c>
      <c r="G11" s="3">
        <v>3</v>
      </c>
      <c r="H11" s="3" t="s">
        <v>13</v>
      </c>
      <c r="I11" s="3" t="s">
        <v>39</v>
      </c>
    </row>
    <row r="12" spans="1:9">
      <c r="A12" s="3">
        <v>14</v>
      </c>
      <c r="B12" s="3" t="s">
        <v>40</v>
      </c>
      <c r="C12" s="3" t="s">
        <v>41</v>
      </c>
      <c r="D12" s="3" t="s">
        <v>11</v>
      </c>
      <c r="E12" s="3" t="s">
        <v>12</v>
      </c>
      <c r="F12" s="3">
        <v>20</v>
      </c>
      <c r="G12" s="3">
        <v>3</v>
      </c>
      <c r="H12" s="3" t="s">
        <v>13</v>
      </c>
      <c r="I12" s="3" t="s">
        <v>42</v>
      </c>
    </row>
    <row r="13" spans="1:9">
      <c r="A13" s="3">
        <v>16</v>
      </c>
      <c r="B13" s="3" t="s">
        <v>43</v>
      </c>
      <c r="C13" s="3" t="s">
        <v>10</v>
      </c>
      <c r="D13" s="3" t="s">
        <v>44</v>
      </c>
      <c r="E13" s="3" t="s">
        <v>12</v>
      </c>
      <c r="F13" s="3">
        <v>900</v>
      </c>
      <c r="G13" s="3">
        <v>6</v>
      </c>
      <c r="H13" s="3" t="s">
        <v>13</v>
      </c>
      <c r="I13" s="3" t="s">
        <v>14</v>
      </c>
    </row>
    <row r="14" spans="1:9">
      <c r="A14" s="3">
        <v>17</v>
      </c>
      <c r="B14" s="3" t="s">
        <v>45</v>
      </c>
      <c r="C14" s="3" t="s">
        <v>16</v>
      </c>
      <c r="D14" s="3" t="s">
        <v>44</v>
      </c>
      <c r="E14" s="3" t="s">
        <v>12</v>
      </c>
      <c r="F14" s="3">
        <v>1872</v>
      </c>
      <c r="G14" s="3">
        <v>5</v>
      </c>
      <c r="H14" s="3" t="s">
        <v>13</v>
      </c>
      <c r="I14" s="3" t="s">
        <v>17</v>
      </c>
    </row>
    <row r="15" spans="1:9">
      <c r="A15" s="3">
        <v>18</v>
      </c>
      <c r="B15" s="3" t="s">
        <v>46</v>
      </c>
      <c r="C15" s="3" t="s">
        <v>19</v>
      </c>
      <c r="D15" s="3" t="s">
        <v>44</v>
      </c>
      <c r="E15" s="3" t="s">
        <v>20</v>
      </c>
      <c r="F15" s="3">
        <v>250</v>
      </c>
      <c r="G15" s="3">
        <v>4</v>
      </c>
      <c r="H15" s="3" t="s">
        <v>13</v>
      </c>
      <c r="I15" s="3" t="s">
        <v>21</v>
      </c>
    </row>
    <row r="16" spans="1:9">
      <c r="A16" s="3">
        <v>19</v>
      </c>
      <c r="B16" s="3" t="s">
        <v>47</v>
      </c>
      <c r="C16" s="3" t="s">
        <v>23</v>
      </c>
      <c r="D16" s="3" t="s">
        <v>44</v>
      </c>
      <c r="E16" s="3" t="s">
        <v>12</v>
      </c>
      <c r="F16" s="3">
        <v>1872</v>
      </c>
      <c r="G16" s="3">
        <v>7</v>
      </c>
      <c r="H16" s="3" t="s">
        <v>13</v>
      </c>
      <c r="I16" s="3" t="s">
        <v>17</v>
      </c>
    </row>
    <row r="17" spans="1:9">
      <c r="A17" s="3">
        <v>20</v>
      </c>
      <c r="B17" s="3" t="s">
        <v>48</v>
      </c>
      <c r="C17" s="3" t="s">
        <v>25</v>
      </c>
      <c r="D17" s="3" t="s">
        <v>44</v>
      </c>
      <c r="E17" s="3" t="s">
        <v>12</v>
      </c>
      <c r="F17" s="3">
        <v>1872</v>
      </c>
      <c r="G17" s="3">
        <v>5</v>
      </c>
      <c r="H17" s="3" t="s">
        <v>13</v>
      </c>
      <c r="I17" s="3" t="s">
        <v>17</v>
      </c>
    </row>
    <row r="18" spans="1:9">
      <c r="A18" s="3">
        <v>21</v>
      </c>
      <c r="B18" s="3" t="s">
        <v>49</v>
      </c>
      <c r="C18" s="3" t="s">
        <v>27</v>
      </c>
      <c r="D18" s="3" t="s">
        <v>44</v>
      </c>
      <c r="E18" s="3" t="s">
        <v>12</v>
      </c>
      <c r="F18" s="3">
        <v>1872</v>
      </c>
      <c r="G18" s="3">
        <v>4</v>
      </c>
      <c r="H18" s="3" t="s">
        <v>13</v>
      </c>
      <c r="I18" s="3" t="s">
        <v>17</v>
      </c>
    </row>
    <row r="19" spans="1:9" ht="27.6">
      <c r="A19" s="3">
        <v>22</v>
      </c>
      <c r="B19" s="3" t="s">
        <v>50</v>
      </c>
      <c r="C19" s="3" t="s">
        <v>29</v>
      </c>
      <c r="D19" s="3" t="s">
        <v>44</v>
      </c>
      <c r="E19" s="3" t="s">
        <v>30</v>
      </c>
      <c r="F19" s="3">
        <v>624</v>
      </c>
      <c r="G19" s="3">
        <v>4</v>
      </c>
      <c r="H19" s="3" t="s">
        <v>13</v>
      </c>
      <c r="I19" s="3" t="s">
        <v>31</v>
      </c>
    </row>
    <row r="20" spans="1:9">
      <c r="A20" s="3">
        <v>23</v>
      </c>
      <c r="B20" s="3" t="s">
        <v>51</v>
      </c>
      <c r="C20" s="3" t="s">
        <v>33</v>
      </c>
      <c r="D20" s="3" t="s">
        <v>44</v>
      </c>
      <c r="E20" s="3" t="s">
        <v>12</v>
      </c>
      <c r="F20" s="3">
        <v>900</v>
      </c>
      <c r="G20" s="3">
        <v>5</v>
      </c>
      <c r="H20" s="3" t="s">
        <v>13</v>
      </c>
      <c r="I20" s="3" t="s">
        <v>14</v>
      </c>
    </row>
    <row r="21" spans="1:9">
      <c r="A21" s="3">
        <v>24</v>
      </c>
      <c r="B21" s="3" t="s">
        <v>52</v>
      </c>
      <c r="C21" s="3" t="s">
        <v>35</v>
      </c>
      <c r="D21" s="3" t="s">
        <v>44</v>
      </c>
      <c r="E21" s="3" t="s">
        <v>30</v>
      </c>
      <c r="F21" s="3">
        <v>100</v>
      </c>
      <c r="G21" s="3">
        <v>3</v>
      </c>
      <c r="H21" s="3" t="s">
        <v>13</v>
      </c>
      <c r="I21" s="3" t="s">
        <v>36</v>
      </c>
    </row>
    <row r="22" spans="1:9" ht="27.6">
      <c r="A22" s="3">
        <v>26</v>
      </c>
      <c r="B22" s="3" t="s">
        <v>53</v>
      </c>
      <c r="C22" s="3" t="s">
        <v>38</v>
      </c>
      <c r="D22" s="3" t="s">
        <v>44</v>
      </c>
      <c r="E22" s="3" t="s">
        <v>12</v>
      </c>
      <c r="F22" s="3">
        <v>90</v>
      </c>
      <c r="G22" s="3">
        <v>3</v>
      </c>
      <c r="H22" s="3" t="s">
        <v>13</v>
      </c>
      <c r="I22" s="3" t="s">
        <v>39</v>
      </c>
    </row>
    <row r="23" spans="1:9">
      <c r="A23" s="3">
        <v>27</v>
      </c>
      <c r="B23" s="3" t="s">
        <v>54</v>
      </c>
      <c r="C23" s="3" t="s">
        <v>41</v>
      </c>
      <c r="D23" s="3" t="s">
        <v>44</v>
      </c>
      <c r="E23" s="3" t="s">
        <v>12</v>
      </c>
      <c r="F23" s="3">
        <v>20</v>
      </c>
      <c r="G23" s="3">
        <v>3</v>
      </c>
      <c r="H23" s="3" t="s">
        <v>13</v>
      </c>
      <c r="I23" s="3" t="s">
        <v>42</v>
      </c>
    </row>
    <row r="24" spans="1:9" ht="27.6">
      <c r="A24" s="3">
        <v>29</v>
      </c>
      <c r="B24" s="3" t="s">
        <v>55</v>
      </c>
      <c r="C24" s="3" t="s">
        <v>56</v>
      </c>
      <c r="D24" s="3" t="s">
        <v>57</v>
      </c>
      <c r="E24" s="3" t="s">
        <v>12</v>
      </c>
      <c r="F24" s="3">
        <v>192</v>
      </c>
      <c r="G24" s="3">
        <v>3</v>
      </c>
      <c r="H24" s="3" t="s">
        <v>13</v>
      </c>
      <c r="I24" s="3" t="s">
        <v>58</v>
      </c>
    </row>
    <row r="25" spans="1:9">
      <c r="A25" s="3">
        <v>30</v>
      </c>
      <c r="B25" s="3" t="s">
        <v>59</v>
      </c>
      <c r="C25" s="3" t="s">
        <v>60</v>
      </c>
      <c r="D25" s="3" t="s">
        <v>57</v>
      </c>
      <c r="E25" s="3" t="s">
        <v>12</v>
      </c>
      <c r="F25" s="3">
        <v>270</v>
      </c>
      <c r="G25" s="3">
        <v>3</v>
      </c>
      <c r="H25" s="3" t="s">
        <v>13</v>
      </c>
      <c r="I25" s="3" t="s">
        <v>61</v>
      </c>
    </row>
    <row r="26" spans="1:9">
      <c r="A26" s="3">
        <v>31</v>
      </c>
      <c r="B26" s="3" t="s">
        <v>62</v>
      </c>
      <c r="C26" s="3" t="s">
        <v>63</v>
      </c>
      <c r="D26" s="3" t="s">
        <v>57</v>
      </c>
      <c r="E26" s="3" t="s">
        <v>12</v>
      </c>
      <c r="F26" s="3">
        <v>640</v>
      </c>
      <c r="G26" s="3">
        <v>3</v>
      </c>
      <c r="H26" s="3" t="s">
        <v>13</v>
      </c>
      <c r="I26" s="3" t="s">
        <v>64</v>
      </c>
    </row>
  </sheetData>
  <conditionalFormatting sqref="H2:H28">
    <cfRule type="expression" dxfId="0" priority="1">
      <formula>H2="PENDIENTE"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topLeftCell="A9" zoomScale="119" workbookViewId="0">
      <selection activeCell="G19" sqref="G19"/>
    </sheetView>
  </sheetViews>
  <sheetFormatPr baseColWidth="10" defaultColWidth="8.796875" defaultRowHeight="13.8"/>
  <cols>
    <col min="1" max="1" width="13" style="4" customWidth="1"/>
    <col min="2" max="2" width="8" style="4" customWidth="1"/>
    <col min="3" max="3" width="10" style="4" customWidth="1"/>
    <col min="4" max="4" width="42" style="4" customWidth="1"/>
    <col min="5" max="5" width="28" style="4" customWidth="1"/>
    <col min="6" max="6" width="10" style="4" customWidth="1"/>
    <col min="7" max="7" width="15" style="4" customWidth="1"/>
    <col min="8" max="8" width="22" style="4" customWidth="1"/>
    <col min="9" max="9" width="30" style="4" customWidth="1"/>
  </cols>
  <sheetData>
    <row r="1" spans="1:9">
      <c r="A1" s="9" t="s">
        <v>65</v>
      </c>
      <c r="B1" s="8"/>
      <c r="C1" s="8"/>
      <c r="D1" s="8"/>
      <c r="E1" s="8"/>
      <c r="F1" s="8"/>
      <c r="G1" s="8"/>
      <c r="H1" s="8"/>
      <c r="I1" s="8"/>
    </row>
    <row r="2" spans="1:9">
      <c r="A2" s="7" t="s">
        <v>86</v>
      </c>
      <c r="B2" s="8"/>
      <c r="C2" s="8"/>
      <c r="D2" s="8"/>
      <c r="E2" s="8"/>
      <c r="F2" s="8"/>
      <c r="G2" s="8"/>
      <c r="H2" s="8"/>
      <c r="I2" s="8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27.6">
      <c r="A4" s="1" t="s">
        <v>66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67</v>
      </c>
      <c r="I4" s="1" t="s">
        <v>8</v>
      </c>
    </row>
    <row r="5" spans="1:9">
      <c r="A5" s="5">
        <v>46263</v>
      </c>
      <c r="B5">
        <v>3</v>
      </c>
      <c r="C5" t="s">
        <v>9</v>
      </c>
      <c r="D5" t="s">
        <v>10</v>
      </c>
      <c r="E5" t="s">
        <v>11</v>
      </c>
      <c r="F5" t="s">
        <v>12</v>
      </c>
      <c r="G5">
        <v>900</v>
      </c>
      <c r="H5" s="6">
        <v>900</v>
      </c>
      <c r="I5" t="s">
        <v>68</v>
      </c>
    </row>
    <row r="6" spans="1:9">
      <c r="A6" s="5">
        <v>46263</v>
      </c>
      <c r="B6">
        <v>4</v>
      </c>
      <c r="C6" t="s">
        <v>15</v>
      </c>
      <c r="D6" t="s">
        <v>16</v>
      </c>
      <c r="E6" t="s">
        <v>11</v>
      </c>
      <c r="F6" t="s">
        <v>12</v>
      </c>
      <c r="G6">
        <v>1872</v>
      </c>
      <c r="H6" s="6">
        <f>Semana31Ago05SepDarca2[[#This Row],[Cantidad Total]]/2</f>
        <v>936</v>
      </c>
      <c r="I6" t="s">
        <v>68</v>
      </c>
    </row>
    <row r="7" spans="1:9">
      <c r="A7" s="5">
        <v>46263</v>
      </c>
      <c r="B7">
        <v>5</v>
      </c>
      <c r="C7" t="s">
        <v>18</v>
      </c>
      <c r="D7" t="s">
        <v>19</v>
      </c>
      <c r="E7" t="s">
        <v>11</v>
      </c>
      <c r="F7" t="s">
        <v>20</v>
      </c>
      <c r="G7">
        <v>268</v>
      </c>
      <c r="H7" s="6">
        <v>0</v>
      </c>
      <c r="I7" t="s">
        <v>68</v>
      </c>
    </row>
    <row r="8" spans="1:9">
      <c r="A8" s="5">
        <v>46263</v>
      </c>
      <c r="B8">
        <v>6</v>
      </c>
      <c r="C8" t="s">
        <v>22</v>
      </c>
      <c r="D8" t="s">
        <v>23</v>
      </c>
      <c r="E8" t="s">
        <v>11</v>
      </c>
      <c r="F8" t="s">
        <v>12</v>
      </c>
      <c r="G8">
        <v>1872</v>
      </c>
      <c r="H8" s="6">
        <v>0</v>
      </c>
      <c r="I8" t="s">
        <v>68</v>
      </c>
    </row>
    <row r="9" spans="1:9">
      <c r="A9" s="5">
        <v>46263</v>
      </c>
      <c r="B9">
        <v>7</v>
      </c>
      <c r="C9" t="s">
        <v>24</v>
      </c>
      <c r="D9" t="s">
        <v>25</v>
      </c>
      <c r="E9" t="s">
        <v>11</v>
      </c>
      <c r="F9" t="s">
        <v>12</v>
      </c>
      <c r="G9">
        <v>1872</v>
      </c>
      <c r="H9" s="6">
        <v>0</v>
      </c>
      <c r="I9" t="s">
        <v>68</v>
      </c>
    </row>
    <row r="10" spans="1:9">
      <c r="A10" s="5">
        <v>46263</v>
      </c>
      <c r="B10">
        <v>8</v>
      </c>
      <c r="C10" t="s">
        <v>26</v>
      </c>
      <c r="D10" t="s">
        <v>27</v>
      </c>
      <c r="E10" t="s">
        <v>11</v>
      </c>
      <c r="F10" t="s">
        <v>12</v>
      </c>
      <c r="G10">
        <v>1872</v>
      </c>
      <c r="H10" s="6">
        <v>0</v>
      </c>
      <c r="I10" t="s">
        <v>68</v>
      </c>
    </row>
    <row r="11" spans="1:9">
      <c r="A11" s="5">
        <v>46263</v>
      </c>
      <c r="B11">
        <v>9</v>
      </c>
      <c r="C11" t="s">
        <v>28</v>
      </c>
      <c r="D11" t="s">
        <v>29</v>
      </c>
      <c r="E11" t="s">
        <v>11</v>
      </c>
      <c r="F11" t="s">
        <v>30</v>
      </c>
      <c r="G11">
        <v>624</v>
      </c>
      <c r="H11" s="6">
        <v>0</v>
      </c>
      <c r="I11" t="s">
        <v>68</v>
      </c>
    </row>
    <row r="12" spans="1:9">
      <c r="A12" s="5">
        <v>46263</v>
      </c>
      <c r="B12">
        <v>10</v>
      </c>
      <c r="C12" t="s">
        <v>32</v>
      </c>
      <c r="D12" t="s">
        <v>33</v>
      </c>
      <c r="E12" t="s">
        <v>11</v>
      </c>
      <c r="F12" t="s">
        <v>12</v>
      </c>
      <c r="G12">
        <v>900</v>
      </c>
      <c r="H12" s="6">
        <v>0</v>
      </c>
      <c r="I12" t="s">
        <v>68</v>
      </c>
    </row>
    <row r="13" spans="1:9">
      <c r="A13" s="5">
        <v>46263</v>
      </c>
      <c r="B13">
        <v>11</v>
      </c>
      <c r="C13" t="s">
        <v>34</v>
      </c>
      <c r="D13" t="s">
        <v>35</v>
      </c>
      <c r="E13" t="s">
        <v>11</v>
      </c>
      <c r="F13" t="s">
        <v>30</v>
      </c>
      <c r="G13">
        <v>100</v>
      </c>
      <c r="H13" s="6">
        <v>0</v>
      </c>
      <c r="I13" t="s">
        <v>68</v>
      </c>
    </row>
    <row r="14" spans="1:9">
      <c r="A14" s="5">
        <v>46263</v>
      </c>
      <c r="B14">
        <v>13</v>
      </c>
      <c r="C14" t="s">
        <v>37</v>
      </c>
      <c r="D14" t="s">
        <v>38</v>
      </c>
      <c r="E14" t="s">
        <v>11</v>
      </c>
      <c r="F14" t="s">
        <v>12</v>
      </c>
      <c r="G14">
        <v>90</v>
      </c>
      <c r="H14" s="6">
        <v>0</v>
      </c>
      <c r="I14" t="s">
        <v>68</v>
      </c>
    </row>
    <row r="15" spans="1:9">
      <c r="A15" s="5">
        <v>46263</v>
      </c>
      <c r="B15">
        <v>14</v>
      </c>
      <c r="C15" t="s">
        <v>40</v>
      </c>
      <c r="D15" t="s">
        <v>41</v>
      </c>
      <c r="E15" t="s">
        <v>11</v>
      </c>
      <c r="F15" t="s">
        <v>12</v>
      </c>
      <c r="G15">
        <v>20</v>
      </c>
      <c r="H15" s="6">
        <v>0</v>
      </c>
      <c r="I15" t="s">
        <v>68</v>
      </c>
    </row>
    <row r="16" spans="1:9">
      <c r="A16" s="5">
        <v>46263</v>
      </c>
      <c r="B16">
        <v>16</v>
      </c>
      <c r="C16" t="s">
        <v>43</v>
      </c>
      <c r="D16" t="s">
        <v>10</v>
      </c>
      <c r="E16" t="s">
        <v>44</v>
      </c>
      <c r="F16" t="s">
        <v>12</v>
      </c>
      <c r="G16">
        <v>900</v>
      </c>
      <c r="H16" s="6">
        <v>0</v>
      </c>
      <c r="I16" t="s">
        <v>68</v>
      </c>
    </row>
    <row r="17" spans="1:9">
      <c r="A17" s="5">
        <v>46263</v>
      </c>
      <c r="B17">
        <v>17</v>
      </c>
      <c r="C17" t="s">
        <v>45</v>
      </c>
      <c r="D17" t="s">
        <v>16</v>
      </c>
      <c r="E17" t="s">
        <v>44</v>
      </c>
      <c r="F17" t="s">
        <v>12</v>
      </c>
      <c r="G17">
        <v>1872</v>
      </c>
      <c r="H17" s="6">
        <v>0</v>
      </c>
      <c r="I17" t="s">
        <v>68</v>
      </c>
    </row>
    <row r="18" spans="1:9">
      <c r="A18" s="5">
        <v>46263</v>
      </c>
      <c r="B18">
        <v>18</v>
      </c>
      <c r="C18" t="s">
        <v>46</v>
      </c>
      <c r="D18" t="s">
        <v>19</v>
      </c>
      <c r="E18" t="s">
        <v>44</v>
      </c>
      <c r="F18" t="s">
        <v>20</v>
      </c>
      <c r="G18">
        <v>232</v>
      </c>
      <c r="H18" s="6">
        <v>0</v>
      </c>
      <c r="I18" t="s">
        <v>68</v>
      </c>
    </row>
    <row r="19" spans="1:9">
      <c r="A19" s="5">
        <v>46263</v>
      </c>
      <c r="B19">
        <v>19</v>
      </c>
      <c r="C19" t="s">
        <v>47</v>
      </c>
      <c r="D19" t="s">
        <v>23</v>
      </c>
      <c r="E19" t="s">
        <v>44</v>
      </c>
      <c r="F19" t="s">
        <v>12</v>
      </c>
      <c r="G19">
        <v>1872</v>
      </c>
      <c r="H19" s="6">
        <v>0</v>
      </c>
      <c r="I19" t="s">
        <v>68</v>
      </c>
    </row>
    <row r="20" spans="1:9">
      <c r="A20" s="5">
        <v>46263</v>
      </c>
      <c r="B20">
        <v>20</v>
      </c>
      <c r="C20" t="s">
        <v>48</v>
      </c>
      <c r="D20" t="s">
        <v>25</v>
      </c>
      <c r="E20" t="s">
        <v>44</v>
      </c>
      <c r="F20" t="s">
        <v>12</v>
      </c>
      <c r="G20">
        <v>1872</v>
      </c>
      <c r="H20" s="6">
        <v>0</v>
      </c>
      <c r="I20" t="s">
        <v>68</v>
      </c>
    </row>
    <row r="21" spans="1:9">
      <c r="A21" s="5">
        <v>46263</v>
      </c>
      <c r="B21">
        <v>21</v>
      </c>
      <c r="C21" t="s">
        <v>49</v>
      </c>
      <c r="D21" t="s">
        <v>27</v>
      </c>
      <c r="E21" t="s">
        <v>44</v>
      </c>
      <c r="F21" t="s">
        <v>12</v>
      </c>
      <c r="G21">
        <v>1872</v>
      </c>
      <c r="H21" s="6">
        <v>0</v>
      </c>
      <c r="I21" t="s">
        <v>68</v>
      </c>
    </row>
    <row r="22" spans="1:9">
      <c r="A22" s="5">
        <v>46263</v>
      </c>
      <c r="B22">
        <v>22</v>
      </c>
      <c r="C22" t="s">
        <v>50</v>
      </c>
      <c r="D22" t="s">
        <v>29</v>
      </c>
      <c r="E22" t="s">
        <v>44</v>
      </c>
      <c r="F22" t="s">
        <v>30</v>
      </c>
      <c r="G22">
        <v>624</v>
      </c>
      <c r="H22" s="6">
        <v>0</v>
      </c>
      <c r="I22" t="s">
        <v>68</v>
      </c>
    </row>
    <row r="23" spans="1:9">
      <c r="A23" s="5">
        <v>46263</v>
      </c>
      <c r="B23">
        <v>23</v>
      </c>
      <c r="C23" t="s">
        <v>51</v>
      </c>
      <c r="D23" t="s">
        <v>33</v>
      </c>
      <c r="E23" t="s">
        <v>44</v>
      </c>
      <c r="F23" t="s">
        <v>12</v>
      </c>
      <c r="G23">
        <v>900</v>
      </c>
      <c r="H23" s="6">
        <v>0</v>
      </c>
      <c r="I23" t="s">
        <v>68</v>
      </c>
    </row>
    <row r="24" spans="1:9">
      <c r="A24" s="5">
        <v>46263</v>
      </c>
      <c r="B24">
        <v>24</v>
      </c>
      <c r="C24" t="s">
        <v>52</v>
      </c>
      <c r="D24" t="s">
        <v>35</v>
      </c>
      <c r="E24" t="s">
        <v>44</v>
      </c>
      <c r="F24" t="s">
        <v>30</v>
      </c>
      <c r="G24">
        <v>100</v>
      </c>
      <c r="H24" s="6">
        <v>0</v>
      </c>
      <c r="I24" t="s">
        <v>68</v>
      </c>
    </row>
    <row r="25" spans="1:9">
      <c r="A25" s="5">
        <v>46263</v>
      </c>
      <c r="B25">
        <v>26</v>
      </c>
      <c r="C25" t="s">
        <v>53</v>
      </c>
      <c r="D25" t="s">
        <v>38</v>
      </c>
      <c r="E25" t="s">
        <v>44</v>
      </c>
      <c r="F25" t="s">
        <v>12</v>
      </c>
      <c r="G25">
        <v>90</v>
      </c>
      <c r="H25" s="6">
        <v>0</v>
      </c>
      <c r="I25" t="s">
        <v>68</v>
      </c>
    </row>
    <row r="26" spans="1:9">
      <c r="A26" s="5">
        <v>46263</v>
      </c>
      <c r="B26">
        <v>27</v>
      </c>
      <c r="C26" t="s">
        <v>54</v>
      </c>
      <c r="D26" t="s">
        <v>41</v>
      </c>
      <c r="E26" t="s">
        <v>44</v>
      </c>
      <c r="F26" t="s">
        <v>12</v>
      </c>
      <c r="G26">
        <v>20</v>
      </c>
      <c r="H26" s="6">
        <v>0</v>
      </c>
      <c r="I26" t="s">
        <v>68</v>
      </c>
    </row>
    <row r="27" spans="1:9">
      <c r="A27" s="5">
        <v>46263</v>
      </c>
      <c r="B27">
        <v>29</v>
      </c>
      <c r="C27" t="s">
        <v>55</v>
      </c>
      <c r="D27" t="s">
        <v>56</v>
      </c>
      <c r="E27" t="s">
        <v>57</v>
      </c>
      <c r="F27" t="s">
        <v>12</v>
      </c>
      <c r="G27">
        <v>192</v>
      </c>
      <c r="H27" s="6">
        <v>0</v>
      </c>
      <c r="I27" t="s">
        <v>68</v>
      </c>
    </row>
    <row r="28" spans="1:9">
      <c r="A28" s="5">
        <v>46263</v>
      </c>
      <c r="B28">
        <v>30</v>
      </c>
      <c r="C28" t="s">
        <v>59</v>
      </c>
      <c r="D28" t="s">
        <v>60</v>
      </c>
      <c r="E28" t="s">
        <v>57</v>
      </c>
      <c r="F28" t="s">
        <v>12</v>
      </c>
      <c r="G28">
        <v>270</v>
      </c>
      <c r="H28" s="6">
        <v>0</v>
      </c>
      <c r="I28" t="s">
        <v>68</v>
      </c>
    </row>
    <row r="29" spans="1:9">
      <c r="A29" s="5">
        <v>46263</v>
      </c>
      <c r="B29">
        <v>31</v>
      </c>
      <c r="C29" t="s">
        <v>62</v>
      </c>
      <c r="D29" t="s">
        <v>63</v>
      </c>
      <c r="E29" t="s">
        <v>57</v>
      </c>
      <c r="F29" t="s">
        <v>12</v>
      </c>
      <c r="G29">
        <v>640</v>
      </c>
      <c r="H29" s="6">
        <v>0</v>
      </c>
      <c r="I29" t="s">
        <v>68</v>
      </c>
    </row>
  </sheetData>
  <mergeCells count="2">
    <mergeCell ref="A2:I2"/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sqref="A1:F1"/>
    </sheetView>
  </sheetViews>
  <sheetFormatPr baseColWidth="10" defaultColWidth="8.796875" defaultRowHeight="13.8"/>
  <cols>
    <col min="1" max="1" width="24" style="4" customWidth="1"/>
    <col min="2" max="2" width="85" style="4" customWidth="1"/>
  </cols>
  <sheetData>
    <row r="1" spans="1:6" ht="21">
      <c r="A1" s="10" t="s">
        <v>69</v>
      </c>
      <c r="B1" s="8"/>
      <c r="C1" s="8"/>
      <c r="D1" s="8"/>
      <c r="E1" s="8"/>
      <c r="F1" s="8"/>
    </row>
    <row r="3" spans="1:6" ht="27.6">
      <c r="A3" s="2" t="s">
        <v>70</v>
      </c>
      <c r="B3" s="3" t="s">
        <v>71</v>
      </c>
    </row>
    <row r="4" spans="1:6" ht="27.6">
      <c r="A4" s="2" t="s">
        <v>72</v>
      </c>
      <c r="B4" s="3" t="s">
        <v>73</v>
      </c>
    </row>
    <row r="5" spans="1:6" ht="27.6">
      <c r="A5" s="2" t="s">
        <v>74</v>
      </c>
      <c r="B5" s="3" t="s">
        <v>75</v>
      </c>
    </row>
    <row r="6" spans="1:6">
      <c r="A6" s="2" t="s">
        <v>76</v>
      </c>
      <c r="B6" s="3" t="s">
        <v>77</v>
      </c>
    </row>
    <row r="7" spans="1:6" ht="27.6">
      <c r="A7" s="2" t="s">
        <v>78</v>
      </c>
      <c r="B7" s="3" t="s">
        <v>79</v>
      </c>
    </row>
    <row r="8" spans="1:6" ht="27.6">
      <c r="A8" s="2" t="s">
        <v>80</v>
      </c>
      <c r="B8" s="3" t="s">
        <v>81</v>
      </c>
    </row>
    <row r="9" spans="1:6">
      <c r="A9" s="2" t="s">
        <v>82</v>
      </c>
      <c r="B9" s="3" t="s">
        <v>83</v>
      </c>
    </row>
    <row r="10" spans="1:6">
      <c r="A10" s="2" t="s">
        <v>84</v>
      </c>
      <c r="B10" s="3" t="s">
        <v>85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BASE_CANTIDADES</vt:lpstr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Loyal</dc:creator>
  <cp:lastModifiedBy>Juan Sebastian Leal Toro</cp:lastModifiedBy>
  <dcterms:created xsi:type="dcterms:W3CDTF">2026-08-31T21:59:37Z</dcterms:created>
  <dcterms:modified xsi:type="dcterms:W3CDTF">2026-09-16T14:04:43Z</dcterms:modified>
</cp:coreProperties>
</file>